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hpstudy_pro\jdjk\"/>
    </mc:Choice>
  </mc:AlternateContent>
  <bookViews>
    <workbookView xWindow="0" yWindow="0" windowWidth="23040" windowHeight="9144"/>
  </bookViews>
  <sheets>
    <sheet name="销售数据" sheetId="2" r:id="rId1"/>
    <sheet name="打印模板" sheetId="3" r:id="rId2"/>
  </sheets>
  <functionGroups builtInGroupCount="18"/>
  <definedNames>
    <definedName name="_xlnm.Print_Area" localSheetId="1">打印模板!$A$1:$U$13</definedName>
    <definedName name="Z_208180E9_3275_4792_BF53_4981C67AFF5F_.wvu.PrintArea" localSheetId="1" hidden="1">打印模板!$A$1:$T$13</definedName>
    <definedName name="百">销售数据!#REF!</definedName>
    <definedName name="备注">销售数据!$L$2:$L$1048576</definedName>
    <definedName name="单价">销售数据!$H$2:$H$1048576</definedName>
    <definedName name="单位">销售数据!$G$2:$G$1048576</definedName>
    <definedName name="地址">销售数据!$E$2:$E$1048576</definedName>
    <definedName name="电话">销售数据!$D$2:$D$1048576</definedName>
    <definedName name="客户">销售数据!$B$2:$B$1048576</definedName>
    <definedName name="千">销售数据!#REF!</definedName>
    <definedName name="商品名称">销售数据!$F$2:$F$1048576</definedName>
    <definedName name="十">销售数据!#REF!</definedName>
    <definedName name="数量">销售数据!$I$2:$I$1048576</definedName>
    <definedName name="万">销售数据!#REF!</definedName>
    <definedName name="销售日期">销售数据!$J$2:$J$1048576</definedName>
    <definedName name="性别">销售数据!$C$2:$C$1048576</definedName>
    <definedName name="序号">销售数据!$A$2:$A$1048576</definedName>
    <definedName name="元">销售数据!#REF!</definedName>
  </definedNames>
  <calcPr calcId="162913"/>
  <customWorkbookViews>
    <customWorkbookView name="发票" guid="{208180E9-3275-4792-BF53-4981C67AFF5F}" maximized="1" xWindow="-9" yWindow="-9" windowWidth="1938" windowHeight="1048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O3" i="3"/>
  <c r="F3" i="3"/>
  <c r="B3" i="3"/>
  <c r="N6" i="3" l="1"/>
  <c r="M7" i="3"/>
  <c r="M8" i="3"/>
  <c r="M9" i="3"/>
  <c r="M10" i="3"/>
  <c r="M6" i="3"/>
  <c r="I7" i="3"/>
  <c r="J7" i="3"/>
  <c r="K7" i="3"/>
  <c r="L7" i="3"/>
  <c r="I8" i="3"/>
  <c r="J8" i="3"/>
  <c r="K8" i="3"/>
  <c r="L8" i="3"/>
  <c r="I9" i="3"/>
  <c r="J9" i="3"/>
  <c r="K9" i="3"/>
  <c r="L9" i="3"/>
  <c r="I10" i="3"/>
  <c r="J10" i="3"/>
  <c r="K10" i="3"/>
  <c r="L10" i="3"/>
  <c r="J6" i="3"/>
  <c r="K6" i="3"/>
  <c r="L6" i="3"/>
  <c r="I6" i="3"/>
  <c r="H10" i="3"/>
  <c r="G10" i="3"/>
  <c r="F10" i="3"/>
  <c r="A10" i="3"/>
  <c r="H9" i="3"/>
  <c r="G9" i="3"/>
  <c r="F9" i="3"/>
  <c r="A9" i="3"/>
  <c r="H8" i="3"/>
  <c r="H7" i="3"/>
  <c r="H6" i="3"/>
  <c r="G8" i="3"/>
  <c r="G7" i="3"/>
  <c r="G6" i="3"/>
  <c r="F8" i="3"/>
  <c r="F7" i="3"/>
  <c r="F6" i="3"/>
  <c r="A8" i="3"/>
  <c r="A7" i="3"/>
  <c r="A6" i="3"/>
  <c r="J11" i="3" l="1"/>
</calcChain>
</file>

<file path=xl/sharedStrings.xml><?xml version="1.0" encoding="utf-8"?>
<sst xmlns="http://schemas.openxmlformats.org/spreadsheetml/2006/main" count="71" uniqueCount="53">
  <si>
    <t>客户</t>
    <phoneticPr fontId="1" type="noConversion"/>
  </si>
  <si>
    <t>商品名称</t>
    <phoneticPr fontId="1" type="noConversion"/>
  </si>
  <si>
    <t>数量</t>
    <phoneticPr fontId="1" type="noConversion"/>
  </si>
  <si>
    <t>单位</t>
    <phoneticPr fontId="1" type="noConversion"/>
  </si>
  <si>
    <t>单价</t>
    <phoneticPr fontId="1" type="noConversion"/>
  </si>
  <si>
    <t>金额</t>
    <phoneticPr fontId="1" type="noConversion"/>
  </si>
  <si>
    <t>万</t>
    <phoneticPr fontId="1" type="noConversion"/>
  </si>
  <si>
    <t>元</t>
    <phoneticPr fontId="1" type="noConversion"/>
  </si>
  <si>
    <t>销售日期：</t>
    <phoneticPr fontId="1" type="noConversion"/>
  </si>
  <si>
    <t>0004858</t>
    <phoneticPr fontId="1" type="noConversion"/>
  </si>
  <si>
    <t>店长 刘建康</t>
    <phoneticPr fontId="1" type="noConversion"/>
  </si>
  <si>
    <r>
      <rPr>
        <sz val="24"/>
        <rFont val="等线"/>
        <family val="3"/>
        <charset val="134"/>
        <scheme val="minor"/>
      </rPr>
      <t>京东家电专卖店</t>
    </r>
    <r>
      <rPr>
        <sz val="18"/>
        <rFont val="等线"/>
        <family val="3"/>
        <charset val="134"/>
        <scheme val="minor"/>
      </rPr>
      <t xml:space="preserve">  </t>
    </r>
    <r>
      <rPr>
        <sz val="16"/>
        <rFont val="等线"/>
        <family val="3"/>
        <charset val="134"/>
        <scheme val="minor"/>
      </rPr>
      <t>商品销售单</t>
    </r>
    <phoneticPr fontId="1" type="noConversion"/>
  </si>
  <si>
    <t>性别</t>
    <phoneticPr fontId="1" type="noConversion"/>
  </si>
  <si>
    <t>是否已开票</t>
    <phoneticPr fontId="1" type="noConversion"/>
  </si>
  <si>
    <t>沅江市三眼塘店 JD29789   电话: 0737-2982123 18907376948</t>
    <phoneticPr fontId="1" type="noConversion"/>
  </si>
  <si>
    <t>商    品    名    称</t>
    <phoneticPr fontId="1" type="noConversion"/>
  </si>
  <si>
    <t>备注</t>
    <phoneticPr fontId="1" type="noConversion"/>
  </si>
  <si>
    <t>千</t>
    <phoneticPr fontId="1" type="noConversion"/>
  </si>
  <si>
    <t>百</t>
    <phoneticPr fontId="1" type="noConversion"/>
  </si>
  <si>
    <t>十</t>
    <phoneticPr fontId="1" type="noConversion"/>
  </si>
  <si>
    <t>京东官方授权、正品低价、售后无忧。全品类、全品牌应有尽有，全屋家电一站式购齐。</t>
    <phoneticPr fontId="1" type="noConversion"/>
  </si>
  <si>
    <t xml:space="preserve">合计金额         万      仟      佰      十      元  </t>
    <phoneticPr fontId="1" type="noConversion"/>
  </si>
  <si>
    <t>¥</t>
    <phoneticPr fontId="1" type="noConversion"/>
  </si>
  <si>
    <t>专业、专注、专营：京东所有品牌大小家电，网购代下单、样机体验、实体店购物，价格全网最低</t>
    <phoneticPr fontId="1" type="noConversion"/>
  </si>
  <si>
    <t>注：此单为保修凭证，敬请保存。自然灾害，人为损坏，雷击鼠咬，非正常使用之商品不在保修范围</t>
    <phoneticPr fontId="1" type="noConversion"/>
  </si>
  <si>
    <t>电话</t>
    <phoneticPr fontId="1" type="noConversion"/>
  </si>
  <si>
    <t>地址</t>
    <phoneticPr fontId="1" type="noConversion"/>
  </si>
  <si>
    <t>销售日期</t>
    <phoneticPr fontId="1" type="noConversion"/>
  </si>
  <si>
    <t>单位</t>
    <phoneticPr fontId="1" type="noConversion"/>
  </si>
  <si>
    <t>单价</t>
    <phoneticPr fontId="1" type="noConversion"/>
  </si>
  <si>
    <t>数量</t>
    <phoneticPr fontId="1" type="noConversion"/>
  </si>
  <si>
    <t>备注</t>
    <phoneticPr fontId="1" type="noConversion"/>
  </si>
  <si>
    <t>Value</t>
    <phoneticPr fontId="1" type="noConversion"/>
  </si>
  <si>
    <t>Key</t>
    <phoneticPr fontId="1" type="noConversion"/>
  </si>
  <si>
    <t>客户名称</t>
    <phoneticPr fontId="1" type="noConversion"/>
  </si>
  <si>
    <t>序号</t>
    <phoneticPr fontId="1" type="noConversion"/>
  </si>
  <si>
    <t>万</t>
    <phoneticPr fontId="1" type="noConversion"/>
  </si>
  <si>
    <t>mydata1</t>
  </si>
  <si>
    <t>男</t>
  </si>
  <si>
    <t>个</t>
  </si>
  <si>
    <t>备注</t>
  </si>
  <si>
    <t>mydata2</t>
  </si>
  <si>
    <t>刘建康</t>
  </si>
  <si>
    <t>0737-2982123</t>
  </si>
  <si>
    <t>沅江市莲子塘镇</t>
  </si>
  <si>
    <t>格力空调</t>
  </si>
  <si>
    <t>mydata3</t>
  </si>
  <si>
    <t>mydata4</t>
  </si>
  <si>
    <t>高富帅呢</t>
  </si>
  <si>
    <t>反应器一台</t>
  </si>
  <si>
    <t>再来一条</t>
  </si>
  <si>
    <t>格力空调333</t>
  </si>
  <si>
    <t>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</si>
</sst>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&quot;年&quot;m&quot;月&quot;d&quot;日&quot;;@"/>
    <numFmt numFmtId="177" formatCode="0_);\(0\)"/>
  </numFmts>
  <fonts count="1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4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sz val="24"/>
      <name val="等线"/>
      <family val="3"/>
      <charset val="134"/>
      <scheme val="minor"/>
    </font>
    <font>
      <sz val="16"/>
      <name val="等线"/>
      <family val="3"/>
      <charset val="134"/>
      <scheme val="minor"/>
    </font>
    <font>
      <u/>
      <sz val="16"/>
      <name val="等线"/>
      <family val="3"/>
      <charset val="134"/>
      <scheme val="minor"/>
    </font>
    <font>
      <sz val="11"/>
      <color rgb="FFFF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6" fillId="0" borderId="4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177" fontId="2" fillId="0" borderId="0" xfId="0" applyNumberFormat="1" applyFont="1" applyAlignment="1" applyProtection="1">
      <alignment horizontal="center" vertical="center"/>
    </xf>
    <xf numFmtId="177" fontId="2" fillId="0" borderId="0" xfId="0" applyNumberFormat="1" applyFont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6" fillId="0" borderId="1" xfId="0" applyFont="1" applyBorder="1" applyAlignment="1" applyProtection="1">
      <alignment horizontal="center" vertical="center"/>
    </xf>
    <xf numFmtId="0" fontId="7" fillId="0" borderId="0" xfId="0" quotePrefix="1" applyFont="1" applyAlignment="1" applyProtection="1">
      <alignment horizontal="right" vertical="center"/>
    </xf>
    <xf numFmtId="0" fontId="6" fillId="0" borderId="0" xfId="0" applyFont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left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left"/>
    </xf>
    <xf numFmtId="0" fontId="6" fillId="0" borderId="2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left"/>
    </xf>
    <xf numFmtId="0" fontId="6" fillId="0" borderId="6" xfId="0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left" vertical="center" wrapText="1"/>
    </xf>
    <xf numFmtId="0" fontId="5" fillId="2" borderId="8" xfId="0" applyFont="1" applyFill="1" applyBorder="1" applyAlignment="1" applyProtection="1">
      <alignment horizontal="left" vertical="center" wrapText="1"/>
    </xf>
    <xf numFmtId="0" fontId="11" fillId="0" borderId="4" xfId="0" applyFont="1" applyBorder="1" applyAlignment="1" applyProtection="1">
      <alignment horizontal="center" vertical="center"/>
    </xf>
    <xf numFmtId="0" fontId="11" fillId="0" borderId="5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12</xdr:row>
          <xdr:rowOff>45720</xdr:rowOff>
        </xdr:from>
        <xdr:to>
          <xdr:col>5</xdr:col>
          <xdr:colOff>182880</xdr:colOff>
          <xdr:row>13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自动取数关闭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7621</xdr:colOff>
      <xdr:row>3</xdr:row>
      <xdr:rowOff>60960</xdr:rowOff>
    </xdr:from>
    <xdr:to>
      <xdr:col>20</xdr:col>
      <xdr:colOff>220981</xdr:colOff>
      <xdr:row>10</xdr:row>
      <xdr:rowOff>270046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99761" y="1577340"/>
          <a:ext cx="213360" cy="2502706"/>
        </a:xfrm>
        <a:prstGeom prst="rect">
          <a:avLst/>
        </a:prstGeom>
      </xdr:spPr>
    </xdr:pic>
    <xdr:clientData/>
  </xdr:twoCellAnchor>
  <xdr:twoCellAnchor editAs="oneCell">
    <xdr:from>
      <xdr:col>0</xdr:col>
      <xdr:colOff>199292</xdr:colOff>
      <xdr:row>0</xdr:row>
      <xdr:rowOff>0</xdr:rowOff>
    </xdr:from>
    <xdr:to>
      <xdr:col>2</xdr:col>
      <xdr:colOff>4367</xdr:colOff>
      <xdr:row>1</xdr:row>
      <xdr:rowOff>88345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292" y="0"/>
          <a:ext cx="841395" cy="568405"/>
        </a:xfrm>
        <a:prstGeom prst="rect">
          <a:avLst/>
        </a:prstGeom>
      </xdr:spPr>
    </xdr:pic>
    <xdr:clientData/>
  </xdr:twoCellAnchor>
  <xdr:twoCellAnchor editAs="oneCell">
    <xdr:from>
      <xdr:col>20</xdr:col>
      <xdr:colOff>7621</xdr:colOff>
      <xdr:row>3</xdr:row>
      <xdr:rowOff>60960</xdr:rowOff>
    </xdr:from>
    <xdr:to>
      <xdr:col>20</xdr:col>
      <xdr:colOff>220981</xdr:colOff>
      <xdr:row>10</xdr:row>
      <xdr:rowOff>270046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941" y="1379220"/>
          <a:ext cx="213360" cy="2502706"/>
        </a:xfrm>
        <a:prstGeom prst="rect">
          <a:avLst/>
        </a:prstGeom>
      </xdr:spPr>
    </xdr:pic>
    <xdr:clientData/>
  </xdr:twoCellAnchor>
  <xdr:twoCellAnchor editAs="oneCell">
    <xdr:from>
      <xdr:col>0</xdr:col>
      <xdr:colOff>199292</xdr:colOff>
      <xdr:row>0</xdr:row>
      <xdr:rowOff>0</xdr:rowOff>
    </xdr:from>
    <xdr:to>
      <xdr:col>2</xdr:col>
      <xdr:colOff>4367</xdr:colOff>
      <xdr:row>1</xdr:row>
      <xdr:rowOff>88345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292" y="0"/>
          <a:ext cx="841395" cy="5684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100"/>
  <sheetViews>
    <sheetView showZeros="0" tabSelected="1" zoomScale="130" zoomScaleNormal="130" workbookViewId="0">
      <selection activeCell="H18" sqref="H18"/>
    </sheetView>
  </sheetViews>
  <sheetFormatPr defaultColWidth="10.33203125" defaultRowHeight="13.2"/>
  <cols>
    <col min="1" max="1" width="9.109375" style="4" bestFit="1" customWidth="1"/>
    <col min="2" max="2" width="13" style="4" bestFit="1" customWidth="1"/>
    <col min="3" max="3" width="5.33203125" style="4" bestFit="1" customWidth="1"/>
    <col min="4" max="4" width="14.33203125" style="5" bestFit="1" customWidth="1"/>
    <col min="5" max="5" width="17.21875" style="4" bestFit="1" customWidth="1"/>
    <col min="6" max="6" width="17" style="4" bestFit="1" customWidth="1"/>
    <col min="7" max="7" width="18.33203125" style="4" bestFit="1" customWidth="1"/>
    <col min="8" max="9" width="5.33203125" style="4" bestFit="1" customWidth="1"/>
    <col min="10" max="10" width="5.5546875" style="4" bestFit="1" customWidth="1"/>
    <col min="11" max="11" width="11.109375" style="4" bestFit="1" customWidth="1"/>
    <col min="12" max="12" width="9.5546875" style="4" bestFit="1" customWidth="1"/>
    <col min="13" max="13" width="5.88671875" style="13" bestFit="1" customWidth="1"/>
    <col min="14" max="14" width="3.44140625" style="13" bestFit="1" customWidth="1"/>
    <col min="15" max="15" width="5.88671875" style="13" bestFit="1" customWidth="1"/>
    <col min="16" max="16" width="8.109375" style="13" bestFit="1" customWidth="1"/>
    <col min="17" max="29" width="10.33203125" style="4"/>
    <col min="30" max="30" width="4.44140625" style="4" bestFit="1" customWidth="1"/>
    <col min="31" max="31" width="6.109375" style="4" bestFit="1" customWidth="1"/>
    <col min="32" max="16384" width="10.33203125" style="4"/>
  </cols>
  <sheetData>
    <row r="1" spans="1:31" s="3" customFormat="1">
      <c r="A1" s="2" t="s">
        <v>35</v>
      </c>
      <c r="B1" s="2" t="s">
        <v>34</v>
      </c>
      <c r="C1" s="7" t="s">
        <v>12</v>
      </c>
      <c r="D1" s="2" t="s">
        <v>25</v>
      </c>
      <c r="E1" s="2" t="s">
        <v>26</v>
      </c>
      <c r="F1" s="2" t="s">
        <v>27</v>
      </c>
      <c r="G1" s="6" t="s">
        <v>1</v>
      </c>
      <c r="H1" s="6" t="s">
        <v>28</v>
      </c>
      <c r="I1" s="2" t="s">
        <v>29</v>
      </c>
      <c r="J1" s="2" t="s">
        <v>30</v>
      </c>
      <c r="K1" s="3" t="s">
        <v>13</v>
      </c>
      <c r="L1" s="3" t="s">
        <v>31</v>
      </c>
      <c r="M1" s="12" t="s">
        <v>36</v>
      </c>
      <c r="N1" s="12" t="s">
        <v>17</v>
      </c>
      <c r="O1" s="12" t="s">
        <v>18</v>
      </c>
      <c r="P1" s="12" t="s">
        <v>19</v>
      </c>
      <c r="Q1" s="3" t="s">
        <v>7</v>
      </c>
      <c r="AD1" s="3" t="s">
        <v>33</v>
      </c>
      <c r="AE1" s="3" t="s">
        <v>32</v>
      </c>
    </row>
    <row r="2" spans="1:31" ht="13.8">
      <c r="A2" t="s">
        <v>37</v>
      </c>
      <c r="B2" t="s">
        <v>42</v>
      </c>
      <c r="C2" t="s">
        <v>38</v>
      </c>
      <c r="D2" t="s">
        <v>43</v>
      </c>
      <c r="E2" t="s">
        <v>44</v>
      </c>
      <c r="F2" s="14">
        <v>44157.483726851853</v>
      </c>
      <c r="G2" t="s">
        <v>49</v>
      </c>
      <c r="H2" t="s">
        <v>39</v>
      </c>
      <c r="I2">
        <v>666</v>
      </c>
      <c r="J2">
        <v>18</v>
      </c>
      <c r="K2">
        <v>5686</v>
      </c>
      <c r="L2" t="s">
        <v>40</v>
      </c>
      <c r="M2">
        <v>1</v>
      </c>
      <c r="N2">
        <v>1</v>
      </c>
      <c r="O2">
        <v>9</v>
      </c>
      <c r="P2">
        <v>8</v>
      </c>
      <c r="Q2"/>
      <c r="R2"/>
      <c r="S2"/>
      <c r="T2"/>
      <c r="U2"/>
      <c r="V2"/>
      <c r="W2"/>
      <c r="X2"/>
      <c r="Y2"/>
      <c r="Z2"/>
    </row>
    <row r="3" spans="1:31" ht="13.8">
      <c r="A3" t="s">
        <v>41</v>
      </c>
      <c r="B3" t="s">
        <v>50</v>
      </c>
      <c r="C3" t="s">
        <v>38</v>
      </c>
      <c r="D3">
        <v>23243423</v>
      </c>
      <c r="E3" t="s">
        <v>44</v>
      </c>
      <c r="F3" s="14">
        <v>44157.433252314811</v>
      </c>
      <c r="G3" t="s">
        <v>45</v>
      </c>
      <c r="H3" t="s">
        <v>39</v>
      </c>
      <c r="I3">
        <v>169</v>
      </c>
      <c r="J3">
        <v>8</v>
      </c>
      <c r="K3">
        <v>5686</v>
      </c>
      <c r="L3" t="s">
        <v>40</v>
      </c>
      <c r="M3">
        <v>0</v>
      </c>
      <c r="N3">
        <v>1</v>
      </c>
      <c r="O3">
        <v>3</v>
      </c>
      <c r="P3">
        <v>5</v>
      </c>
      <c r="Q3"/>
      <c r="R3"/>
      <c r="S3"/>
      <c r="T3"/>
      <c r="U3"/>
      <c r="V3"/>
      <c r="W3"/>
      <c r="X3"/>
      <c r="Y3"/>
      <c r="Z3"/>
    </row>
    <row r="4" spans="1:31" ht="13.8">
      <c r="A4" t="s">
        <v>46</v>
      </c>
      <c r="B4" t="s">
        <v>42</v>
      </c>
      <c r="C4" t="s">
        <v>38</v>
      </c>
      <c r="D4">
        <v>2982123</v>
      </c>
      <c r="E4" t="s">
        <v>44</v>
      </c>
      <c r="F4" s="14">
        <v>44157.434965277775</v>
      </c>
      <c r="G4" t="s">
        <v>51</v>
      </c>
      <c r="H4" t="s">
        <v>39</v>
      </c>
      <c r="I4">
        <v>999</v>
      </c>
      <c r="J4">
        <v>8</v>
      </c>
      <c r="K4">
        <v>5686</v>
      </c>
      <c r="L4" t="s">
        <v>40</v>
      </c>
      <c r="M4">
        <v>0</v>
      </c>
      <c r="N4">
        <v>7</v>
      </c>
      <c r="O4">
        <v>9</v>
      </c>
      <c r="P4">
        <v>9</v>
      </c>
      <c r="Q4"/>
      <c r="R4"/>
      <c r="S4"/>
      <c r="T4"/>
      <c r="U4"/>
      <c r="V4"/>
      <c r="W4"/>
      <c r="X4"/>
      <c r="Y4"/>
      <c r="Z4"/>
    </row>
    <row r="5" spans="1:31" ht="13.8">
      <c r="A5" t="s">
        <v>47</v>
      </c>
      <c r="B5" t="s">
        <v>42</v>
      </c>
      <c r="C5" t="s">
        <v>38</v>
      </c>
      <c r="D5" t="s">
        <v>43</v>
      </c>
      <c r="E5" t="s">
        <v>44</v>
      </c>
      <c r="F5" s="14">
        <v>44157.540046296293</v>
      </c>
      <c r="G5" t="s">
        <v>45</v>
      </c>
      <c r="H5" t="s">
        <v>52</v>
      </c>
      <c r="I5">
        <v>666</v>
      </c>
      <c r="J5">
        <v>18</v>
      </c>
      <c r="K5">
        <v>5686</v>
      </c>
      <c r="L5" t="s">
        <v>48</v>
      </c>
      <c r="M5">
        <v>1</v>
      </c>
      <c r="N5">
        <v>1</v>
      </c>
      <c r="O5">
        <v>9</v>
      </c>
      <c r="P5">
        <v>8</v>
      </c>
      <c r="Q5"/>
      <c r="R5"/>
      <c r="S5"/>
      <c r="T5"/>
      <c r="U5"/>
      <c r="V5"/>
      <c r="W5"/>
      <c r="X5"/>
      <c r="Y5"/>
      <c r="Z5"/>
    </row>
    <row r="6" spans="1:31" ht="13.8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31" ht="13.8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31" ht="13.8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31" ht="13.8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31" ht="13.8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31" ht="13.8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31" ht="13.8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31" ht="13.8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31" ht="13.8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31" ht="13.8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31" ht="13.8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13.8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13.8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13.8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13.8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13.8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3.8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13.8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13.8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3.8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3.8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3.8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3.8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3.8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3.8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3.8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3.8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3.8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3.8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3.8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3.8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3.8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3.8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3.8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3.8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3.8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3.8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3.8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3.8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3.8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3.8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3.8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3.8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3.8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3.8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3.8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3.8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3.8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3.8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3.8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3.8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3.8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3.8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3.8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3.8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ht="13.8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ht="13.8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ht="13.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ht="13.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ht="13.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ht="13.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ht="13.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ht="13.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ht="13.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ht="13.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ht="13.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ht="13.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ht="13.8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ht="13.8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ht="13.8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ht="13.8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ht="13.8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ht="13.8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ht="13.8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ht="13.8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ht="13.8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ht="13.8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ht="13.8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ht="13.8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ht="13.8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ht="13.8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ht="13.8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ht="13.8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ht="13.8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ht="13.8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ht="13.8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ht="13.8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ht="13.8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ht="13.8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ht="13.8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ht="13.8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ht="13.8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ht="13.8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ht="13.8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ht="13.8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</sheetData>
  <sheetProtection deleteColumns="0"/>
  <dataConsolidate/>
  <customSheetViews>
    <customSheetView guid="{208180E9-3275-4792-BF53-4981C67AFF5F}" scale="130">
      <selection activeCell="E12" sqref="E12"/>
      <pageMargins left="0.7" right="0.7" top="0.75" bottom="0.75" header="0.3" footer="0.3"/>
      <pageSetup paperSize="9" orientation="portrait" r:id="rId1"/>
    </customSheetView>
  </customSheetViews>
  <phoneticPr fontId="1" type="noConversion"/>
  <dataValidations disablePrompts="1" count="4">
    <dataValidation type="whole" allowBlank="1" showInputMessage="1" showErrorMessage="1" sqref="H101:H1048576">
      <formula1>0</formula1>
      <formula2>999999999</formula2>
    </dataValidation>
    <dataValidation type="list" allowBlank="1" showInputMessage="1" showErrorMessage="1" sqref="C101:C1048576">
      <formula1>#REF!</formula1>
    </dataValidation>
    <dataValidation type="list" allowBlank="1" showInputMessage="1" showErrorMessage="1" sqref="F101:F1048576">
      <formula1>#REF!</formula1>
    </dataValidation>
    <dataValidation type="list" allowBlank="1" showInputMessage="1" showErrorMessage="1" sqref="G101:G1048576">
      <formula1>#REF!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定时器开关">
                <anchor moveWithCells="1" sizeWithCells="1">
                  <from>
                    <xdr:col>3</xdr:col>
                    <xdr:colOff>883920</xdr:colOff>
                    <xdr:row>12</xdr:row>
                    <xdr:rowOff>45720</xdr:rowOff>
                  </from>
                  <to>
                    <xdr:col>5</xdr:col>
                    <xdr:colOff>182880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3"/>
  <sheetViews>
    <sheetView showZeros="0" view="pageLayout" zoomScale="85" zoomScaleNormal="100" zoomScaleSheetLayoutView="130" zoomScalePageLayoutView="85" workbookViewId="0">
      <selection activeCell="N9" sqref="N9:T11"/>
    </sheetView>
  </sheetViews>
  <sheetFormatPr defaultRowHeight="13.2"/>
  <cols>
    <col min="1" max="1" width="6" style="10" customWidth="1"/>
    <col min="2" max="2" width="7.5546875" style="10" customWidth="1"/>
    <col min="3" max="4" width="6" style="10" customWidth="1"/>
    <col min="5" max="5" width="3.6640625" style="10" customWidth="1"/>
    <col min="6" max="6" width="4.44140625" style="10" customWidth="1"/>
    <col min="7" max="7" width="4.5546875" style="10" customWidth="1"/>
    <col min="8" max="8" width="7.109375" style="10" customWidth="1"/>
    <col min="9" max="11" width="2.77734375" style="10" customWidth="1"/>
    <col min="12" max="12" width="3.109375" style="10" customWidth="1"/>
    <col min="13" max="13" width="3" style="10" customWidth="1"/>
    <col min="14" max="14" width="0.6640625" style="10" customWidth="1"/>
    <col min="15" max="15" width="6.44140625" style="10" customWidth="1"/>
    <col min="16" max="16" width="2.6640625" style="10" customWidth="1"/>
    <col min="17" max="17" width="3.109375" style="10" customWidth="1"/>
    <col min="18" max="18" width="2.6640625" style="10" customWidth="1"/>
    <col min="19" max="19" width="3.5546875" style="10" customWidth="1"/>
    <col min="20" max="20" width="2.88671875" style="10" customWidth="1"/>
    <col min="21" max="21" width="4.5546875" style="10" customWidth="1"/>
    <col min="22" max="16384" width="8.88671875" style="10"/>
  </cols>
  <sheetData>
    <row r="1" spans="1:20" ht="37.799999999999997" customHeight="1">
      <c r="A1" s="19"/>
      <c r="B1" s="20"/>
      <c r="C1" s="21" t="s">
        <v>11</v>
      </c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16" t="s">
        <v>9</v>
      </c>
      <c r="Q1" s="16"/>
      <c r="R1" s="16"/>
      <c r="S1" s="16"/>
      <c r="T1" s="16"/>
    </row>
    <row r="2" spans="1:20" ht="33.6" customHeight="1">
      <c r="A2" s="18" t="s">
        <v>14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7" t="s">
        <v>10</v>
      </c>
      <c r="Q2" s="17"/>
      <c r="R2" s="17"/>
      <c r="S2" s="17"/>
      <c r="T2" s="17"/>
    </row>
    <row r="3" spans="1:20" ht="32.4" customHeight="1">
      <c r="A3" s="8" t="s">
        <v>0</v>
      </c>
      <c r="B3" s="8" t="str">
        <f>销售数据!B2</f>
        <v>刘建康</v>
      </c>
      <c r="C3" s="24" t="str">
        <f>销售数据!E2</f>
        <v>沅江市莲子塘镇</v>
      </c>
      <c r="D3" s="24"/>
      <c r="E3" s="24"/>
      <c r="F3" s="24" t="str">
        <f>销售数据!D2</f>
        <v>0737-2982123</v>
      </c>
      <c r="G3" s="24"/>
      <c r="H3" s="24"/>
      <c r="I3" s="24"/>
      <c r="J3" s="24" t="s">
        <v>8</v>
      </c>
      <c r="K3" s="24"/>
      <c r="L3" s="24"/>
      <c r="M3" s="24"/>
      <c r="O3" s="22">
        <f>销售数据!F2</f>
        <v>44157.483726851853</v>
      </c>
      <c r="P3" s="22"/>
      <c r="Q3" s="22"/>
      <c r="R3" s="22"/>
      <c r="S3" s="22"/>
      <c r="T3" s="22"/>
    </row>
    <row r="4" spans="1:20" ht="26.4" customHeight="1">
      <c r="A4" s="15" t="s">
        <v>15</v>
      </c>
      <c r="B4" s="15"/>
      <c r="C4" s="15"/>
      <c r="D4" s="15"/>
      <c r="E4" s="15"/>
      <c r="F4" s="15" t="s">
        <v>2</v>
      </c>
      <c r="G4" s="15" t="s">
        <v>3</v>
      </c>
      <c r="H4" s="15" t="s">
        <v>4</v>
      </c>
      <c r="I4" s="15" t="s">
        <v>5</v>
      </c>
      <c r="J4" s="15"/>
      <c r="K4" s="15"/>
      <c r="L4" s="15"/>
      <c r="M4" s="15"/>
      <c r="N4" s="15" t="s">
        <v>16</v>
      </c>
      <c r="O4" s="15"/>
      <c r="P4" s="15"/>
      <c r="Q4" s="15"/>
      <c r="R4" s="15"/>
      <c r="S4" s="15"/>
      <c r="T4" s="15"/>
    </row>
    <row r="5" spans="1:20" ht="22.2" customHeight="1">
      <c r="A5" s="15"/>
      <c r="B5" s="15"/>
      <c r="C5" s="15"/>
      <c r="D5" s="15"/>
      <c r="E5" s="15"/>
      <c r="F5" s="15"/>
      <c r="G5" s="15"/>
      <c r="H5" s="15"/>
      <c r="I5" s="9" t="s">
        <v>6</v>
      </c>
      <c r="J5" s="9" t="s">
        <v>17</v>
      </c>
      <c r="K5" s="9" t="s">
        <v>18</v>
      </c>
      <c r="L5" s="9" t="s">
        <v>19</v>
      </c>
      <c r="M5" s="9" t="s">
        <v>7</v>
      </c>
      <c r="N5" s="15"/>
      <c r="O5" s="15"/>
      <c r="P5" s="15"/>
      <c r="Q5" s="15"/>
      <c r="R5" s="15"/>
      <c r="S5" s="15"/>
      <c r="T5" s="15"/>
    </row>
    <row r="6" spans="1:20" ht="26.4" customHeight="1">
      <c r="A6" s="15" t="str">
        <f>销售数据!G2</f>
        <v>反应器一台</v>
      </c>
      <c r="B6" s="15"/>
      <c r="C6" s="15"/>
      <c r="D6" s="15"/>
      <c r="E6" s="15"/>
      <c r="F6" s="11">
        <f>销售数据!J2</f>
        <v>18</v>
      </c>
      <c r="G6" s="11" t="str">
        <f>销售数据!H2</f>
        <v>个</v>
      </c>
      <c r="H6" s="11">
        <f>销售数据!I2</f>
        <v>666</v>
      </c>
      <c r="I6" s="11">
        <f>销售数据!M2</f>
        <v>1</v>
      </c>
      <c r="J6" s="11">
        <f>销售数据!N2</f>
        <v>1</v>
      </c>
      <c r="K6" s="11">
        <f>销售数据!O2</f>
        <v>9</v>
      </c>
      <c r="L6" s="11">
        <f>销售数据!P2</f>
        <v>8</v>
      </c>
      <c r="M6" s="11">
        <f>销售数据!Q2</f>
        <v>0</v>
      </c>
      <c r="N6" s="26" t="str">
        <f>销售数据!L2</f>
        <v>备注</v>
      </c>
      <c r="O6" s="26"/>
      <c r="P6" s="26"/>
      <c r="Q6" s="26"/>
      <c r="R6" s="26"/>
      <c r="S6" s="26"/>
      <c r="T6" s="26"/>
    </row>
    <row r="7" spans="1:20" ht="26.4" customHeight="1">
      <c r="A7" s="15" t="str">
        <f>销售数据!G3</f>
        <v>格力空调</v>
      </c>
      <c r="B7" s="15"/>
      <c r="C7" s="15"/>
      <c r="D7" s="15"/>
      <c r="E7" s="15"/>
      <c r="F7" s="11">
        <f>销售数据!J3</f>
        <v>8</v>
      </c>
      <c r="G7" s="11" t="str">
        <f>销售数据!H3</f>
        <v>个</v>
      </c>
      <c r="H7" s="11">
        <f>销售数据!I3</f>
        <v>169</v>
      </c>
      <c r="I7" s="11">
        <f>销售数据!M3</f>
        <v>0</v>
      </c>
      <c r="J7" s="11">
        <f>销售数据!N3</f>
        <v>1</v>
      </c>
      <c r="K7" s="11">
        <f>销售数据!O3</f>
        <v>3</v>
      </c>
      <c r="L7" s="11">
        <f>销售数据!P3</f>
        <v>5</v>
      </c>
      <c r="M7" s="11">
        <f>销售数据!Q3</f>
        <v>0</v>
      </c>
      <c r="N7" s="27"/>
      <c r="O7" s="27"/>
      <c r="P7" s="27"/>
      <c r="Q7" s="27"/>
      <c r="R7" s="27"/>
      <c r="S7" s="27"/>
      <c r="T7" s="27"/>
    </row>
    <row r="8" spans="1:20" ht="26.4" customHeight="1">
      <c r="A8" s="15" t="str">
        <f>销售数据!G4</f>
        <v>格力空调333</v>
      </c>
      <c r="B8" s="15"/>
      <c r="C8" s="15"/>
      <c r="D8" s="15"/>
      <c r="E8" s="15"/>
      <c r="F8" s="11">
        <f>销售数据!J4</f>
        <v>8</v>
      </c>
      <c r="G8" s="11" t="str">
        <f>销售数据!H4</f>
        <v>个</v>
      </c>
      <c r="H8" s="11">
        <f>销售数据!I4</f>
        <v>999</v>
      </c>
      <c r="I8" s="11">
        <f>销售数据!M4</f>
        <v>0</v>
      </c>
      <c r="J8" s="11">
        <f>销售数据!N4</f>
        <v>7</v>
      </c>
      <c r="K8" s="11">
        <f>销售数据!O4</f>
        <v>9</v>
      </c>
      <c r="L8" s="11">
        <f>销售数据!P4</f>
        <v>9</v>
      </c>
      <c r="M8" s="11">
        <f>销售数据!Q4</f>
        <v>0</v>
      </c>
      <c r="N8" s="27"/>
      <c r="O8" s="27"/>
      <c r="P8" s="27"/>
      <c r="Q8" s="27"/>
      <c r="R8" s="27"/>
      <c r="S8" s="27"/>
      <c r="T8" s="27"/>
    </row>
    <row r="9" spans="1:20" ht="26.4" customHeight="1">
      <c r="A9" s="15" t="str">
        <f>销售数据!G5</f>
        <v>格力空调</v>
      </c>
      <c r="B9" s="15"/>
      <c r="C9" s="15"/>
      <c r="D9" s="15"/>
      <c r="E9" s="15"/>
      <c r="F9" s="11">
        <f>销售数据!J5</f>
        <v>18</v>
      </c>
      <c r="G9" s="11" t="str">
        <f>销售数据!H5</f>
        <v>台</v>
      </c>
      <c r="H9" s="11">
        <f>销售数据!I5</f>
        <v>666</v>
      </c>
      <c r="I9" s="11">
        <f>销售数据!M5</f>
        <v>1</v>
      </c>
      <c r="J9" s="11">
        <f>销售数据!N5</f>
        <v>1</v>
      </c>
      <c r="K9" s="11">
        <f>销售数据!O5</f>
        <v>9</v>
      </c>
      <c r="L9" s="11">
        <f>销售数据!P5</f>
        <v>8</v>
      </c>
      <c r="M9" s="11">
        <f>销售数据!Q5</f>
        <v>0</v>
      </c>
      <c r="N9" s="28" t="s">
        <v>20</v>
      </c>
      <c r="O9" s="28"/>
      <c r="P9" s="28"/>
      <c r="Q9" s="28"/>
      <c r="R9" s="28"/>
      <c r="S9" s="28"/>
      <c r="T9" s="28"/>
    </row>
    <row r="10" spans="1:20" ht="26.4" customHeight="1">
      <c r="A10" s="15">
        <f>销售数据!G6</f>
        <v>0</v>
      </c>
      <c r="B10" s="15"/>
      <c r="C10" s="15"/>
      <c r="D10" s="15"/>
      <c r="E10" s="15"/>
      <c r="F10" s="11">
        <f>销售数据!J6</f>
        <v>0</v>
      </c>
      <c r="G10" s="11">
        <f>销售数据!H6</f>
        <v>0</v>
      </c>
      <c r="H10" s="11">
        <f>销售数据!I6</f>
        <v>0</v>
      </c>
      <c r="I10" s="11">
        <f>销售数据!M6</f>
        <v>0</v>
      </c>
      <c r="J10" s="11">
        <f>销售数据!N6</f>
        <v>0</v>
      </c>
      <c r="K10" s="11">
        <f>销售数据!O6</f>
        <v>0</v>
      </c>
      <c r="L10" s="11">
        <f>销售数据!P6</f>
        <v>0</v>
      </c>
      <c r="M10" s="11">
        <f>销售数据!Q6</f>
        <v>0</v>
      </c>
      <c r="N10" s="28"/>
      <c r="O10" s="28"/>
      <c r="P10" s="28"/>
      <c r="Q10" s="28"/>
      <c r="R10" s="28"/>
      <c r="S10" s="28"/>
      <c r="T10" s="28"/>
    </row>
    <row r="11" spans="1:20" ht="26.4" customHeight="1">
      <c r="A11" s="32" t="s">
        <v>21</v>
      </c>
      <c r="B11" s="33"/>
      <c r="C11" s="33"/>
      <c r="D11" s="33"/>
      <c r="E11" s="33"/>
      <c r="F11" s="33"/>
      <c r="G11" s="33"/>
      <c r="H11" s="33"/>
      <c r="I11" s="1" t="s">
        <v>22</v>
      </c>
      <c r="J11" s="30">
        <f>F6*H6+F7*H7+F8*H8+F9*H9+F10*H10</f>
        <v>33320</v>
      </c>
      <c r="K11" s="30"/>
      <c r="L11" s="30"/>
      <c r="M11" s="31"/>
      <c r="N11" s="29"/>
      <c r="O11" s="29"/>
      <c r="P11" s="29"/>
      <c r="Q11" s="29"/>
      <c r="R11" s="29"/>
      <c r="S11" s="29"/>
      <c r="T11" s="29"/>
    </row>
    <row r="12" spans="1:20" ht="24" customHeight="1">
      <c r="A12" s="25" t="s">
        <v>23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</row>
    <row r="13" spans="1:20" ht="15.6" customHeight="1">
      <c r="A13" s="23" t="s">
        <v>24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</row>
  </sheetData>
  <sheetProtection formatCells="0" formatColumns="0" formatRows="0" insertColumns="0" insertRows="0" insertHyperlinks="0" deleteColumns="0" deleteRows="0" sort="0" autoFilter="0" pivotTables="0"/>
  <customSheetViews>
    <customSheetView guid="{208180E9-3275-4792-BF53-4981C67AFF5F}" scale="55" showPageBreaks="1" fitToPage="1" printArea="1" view="pageLayout">
      <pageMargins left="0.6692913385826772" right="0.59055118110236227" top="0.62992125984251968" bottom="0.70866141732283472" header="0" footer="0"/>
      <pageSetup paperSize="119" orientation="portrait" horizontalDpi="180" verticalDpi="180" r:id="rId1"/>
    </customSheetView>
  </customSheetViews>
  <mergeCells count="26">
    <mergeCell ref="O3:T3"/>
    <mergeCell ref="A13:T13"/>
    <mergeCell ref="C3:E3"/>
    <mergeCell ref="J3:M3"/>
    <mergeCell ref="A12:T12"/>
    <mergeCell ref="F4:F5"/>
    <mergeCell ref="G4:G5"/>
    <mergeCell ref="H4:H5"/>
    <mergeCell ref="I4:M4"/>
    <mergeCell ref="N6:T8"/>
    <mergeCell ref="N9:T11"/>
    <mergeCell ref="N4:T5"/>
    <mergeCell ref="A9:E9"/>
    <mergeCell ref="J11:M11"/>
    <mergeCell ref="A11:H11"/>
    <mergeCell ref="F3:I3"/>
    <mergeCell ref="P1:T1"/>
    <mergeCell ref="P2:T2"/>
    <mergeCell ref="A2:O2"/>
    <mergeCell ref="A1:B1"/>
    <mergeCell ref="C1:O1"/>
    <mergeCell ref="A10:E10"/>
    <mergeCell ref="A4:E5"/>
    <mergeCell ref="A6:E6"/>
    <mergeCell ref="A7:E7"/>
    <mergeCell ref="A8:E8"/>
  </mergeCells>
  <phoneticPr fontId="1" type="noConversion"/>
  <pageMargins left="0.53" right="0.62" top="0.57999999999999996" bottom="0.19" header="0" footer="0"/>
  <pageSetup paperSize="11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12</vt:i4>
      </vt:variant>
    </vt:vector>
  </HeadingPairs>
  <TitlesOfParts>
    <vt:vector size="14" baseType="lpstr">
      <vt:lpstr>销售数据</vt:lpstr>
      <vt:lpstr>打印模板</vt:lpstr>
      <vt:lpstr>打印模板!Print_Area</vt:lpstr>
      <vt:lpstr>备注</vt:lpstr>
      <vt:lpstr>单价</vt:lpstr>
      <vt:lpstr>单位</vt:lpstr>
      <vt:lpstr>地址</vt:lpstr>
      <vt:lpstr>电话</vt:lpstr>
      <vt:lpstr>客户</vt:lpstr>
      <vt:lpstr>商品名称</vt:lpstr>
      <vt:lpstr>数量</vt:lpstr>
      <vt:lpstr>销售日期</vt:lpstr>
      <vt:lpstr>性别</vt:lpstr>
      <vt:lpstr>序号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1</cp:lastModifiedBy>
  <cp:lastPrinted>2020-11-22T14:14:06Z</cp:lastPrinted>
  <dcterms:created xsi:type="dcterms:W3CDTF">2020-09-22T14:03:18Z</dcterms:created>
  <dcterms:modified xsi:type="dcterms:W3CDTF">2020-11-22T14:15:56Z</dcterms:modified>
</cp:coreProperties>
</file>